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My files\Google drive sync\St Andrews\Python\Data processing\TRPL\TCSPC\"/>
    </mc:Choice>
  </mc:AlternateContent>
  <xr:revisionPtr revIDLastSave="0" documentId="13_ncr:1_{1E10D7CB-B8D3-4652-BC80-03A713F29102}" xr6:coauthVersionLast="47" xr6:coauthVersionMax="47" xr10:uidLastSave="{00000000-0000-0000-0000-000000000000}"/>
  <bookViews>
    <workbookView xWindow="-96" yWindow="-96" windowWidth="23232" windowHeight="12432" xr2:uid="{EB7F3F51-2528-5E44-BE37-7CB9C0EE7C95}"/>
  </bookViews>
  <sheets>
    <sheet name="Temp 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9" i="2"/>
  <c r="D18" i="2" s="1"/>
  <c r="D6" i="2"/>
  <c r="D17" i="2" s="1"/>
  <c r="D20" i="2" l="1"/>
  <c r="D19" i="2"/>
  <c r="D84" i="2" s="1"/>
  <c r="D25" i="2"/>
  <c r="D26" i="2" s="1"/>
  <c r="D51" i="2"/>
  <c r="D21" i="2" l="1"/>
  <c r="D44" i="2" s="1"/>
  <c r="D64" i="2"/>
  <c r="D52" i="2"/>
  <c r="D50" i="2" s="1"/>
  <c r="D49" i="2"/>
  <c r="D47" i="2"/>
  <c r="D35" i="2"/>
  <c r="D29" i="2"/>
  <c r="D48" i="2"/>
  <c r="D83" i="2"/>
  <c r="D60" i="2"/>
  <c r="D58" i="2"/>
  <c r="D56" i="2"/>
  <c r="D61" i="2"/>
  <c r="D59" i="2"/>
  <c r="D38" i="2"/>
  <c r="D57" i="2"/>
  <c r="D22" i="2"/>
  <c r="D55" i="2"/>
  <c r="D31" i="2"/>
  <c r="D32" i="2" s="1"/>
  <c r="D30" i="2" s="1"/>
  <c r="D37" i="2"/>
  <c r="D87" i="2"/>
  <c r="D86" i="2"/>
  <c r="D76" i="2"/>
  <c r="D80" i="2"/>
  <c r="D74" i="2"/>
  <c r="D75" i="2"/>
  <c r="D42" i="2"/>
  <c r="D43" i="2"/>
  <c r="D41" i="2"/>
  <c r="D36" i="2"/>
  <c r="D77" i="2" l="1"/>
  <c r="D66" i="2" s="1"/>
  <c r="D71" i="2" s="1"/>
  <c r="D72" i="2" s="1"/>
  <c r="D78" i="2"/>
  <c r="D73" i="2" l="1"/>
  <c r="D69" i="2" s="1"/>
  <c r="D67" i="2" s="1"/>
  <c r="D70" i="2" l="1"/>
  <c r="D65" i="2"/>
  <c r="D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tc={B4033CDA-FAD3-47B6-8A95-DC98B796FF30}</author>
    <author>tc={CC05112E-C0C9-4D6D-A761-5B599F1E7930}</author>
    <author>tc={67203F42-0FC8-4B83-82E6-309C7FF4A954}</author>
    <author>tc={6B6CE456-BCCE-4767-8AF6-00E14D69AE56}</author>
  </authors>
  <commentList>
    <comment ref="B13" authorId="0" shapeId="0" xr:uid="{B4033CDA-FAD3-47B6-8A95-DC98B796FF30}">
      <text>
        <t>[Threaded comment]
Your version of Excel allows you to read this threaded comment; however, any edits to it will get removed if the file is opened in a newer version of Excel. Learn more: https://go.microsoft.com/fwlink/?linkid=870924
Comment:
    PLQY has to be measured in an oxygen free environment</t>
      </text>
    </comment>
    <comment ref="B14" authorId="1" shapeId="0" xr:uid="{CC05112E-C0C9-4D6D-A761-5B599F1E7930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calculation require a separate measurement for the ISC efficency. Assuming no k^S_nr =&gt; Φ_ISC = 1-Φ_PF</t>
      </text>
    </comment>
    <comment ref="B15" authorId="2" shapeId="0" xr:uid="{67203F42-0FC8-4B83-82E6-309C7FF4A9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Requires estimation from spectral shift. If no spectral shift has been recorded, a value of 1 can be set to assume no phosphorescence</t>
      </text>
    </comment>
    <comment ref="B21" authorId="3" shapeId="0" xr:uid="{6B6CE456-BCCE-4767-8AF6-00E14D69AE5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when no explicit calculation is shown in paper</t>
      </text>
    </comment>
  </commentList>
</comments>
</file>

<file path=xl/sharedStrings.xml><?xml version="1.0" encoding="utf-8"?>
<sst xmlns="http://schemas.openxmlformats.org/spreadsheetml/2006/main" count="211" uniqueCount="96">
  <si>
    <t>prompt lifetime</t>
  </si>
  <si>
    <t>delayed lifetime</t>
  </si>
  <si>
    <t>s</t>
  </si>
  <si>
    <t>Unit</t>
  </si>
  <si>
    <t>Symbol</t>
  </si>
  <si>
    <t>Name</t>
  </si>
  <si>
    <t>General Calculations</t>
  </si>
  <si>
    <t>prompt rate constant</t>
  </si>
  <si>
    <t>delayed rate constant</t>
  </si>
  <si>
    <t>s^–1</t>
  </si>
  <si>
    <t>radiative decay rate constant of S1</t>
  </si>
  <si>
    <t>non-radiative decay rate constant of S1</t>
  </si>
  <si>
    <t>𝜏_d</t>
  </si>
  <si>
    <t>𝜏_p</t>
  </si>
  <si>
    <r>
      <rPr>
        <i/>
        <sz val="12"/>
        <color theme="1"/>
        <rFont val="Calibri"/>
        <family val="2"/>
        <scheme val="minor"/>
      </rPr>
      <t>k_</t>
    </r>
    <r>
      <rPr>
        <sz val="12"/>
        <color theme="1"/>
        <rFont val="Calibri"/>
        <family val="2"/>
        <scheme val="minor"/>
      </rPr>
      <t>p</t>
    </r>
  </si>
  <si>
    <r>
      <rPr>
        <i/>
        <sz val="12"/>
        <color theme="1"/>
        <rFont val="Calibri"/>
        <family val="2"/>
        <scheme val="minor"/>
      </rPr>
      <t>k_</t>
    </r>
    <r>
      <rPr>
        <sz val="12"/>
        <color theme="1"/>
        <rFont val="Calibri"/>
        <family val="2"/>
        <scheme val="minor"/>
      </rPr>
      <t>d</t>
    </r>
  </si>
  <si>
    <t>non-radiative decay rate constant of T1</t>
  </si>
  <si>
    <t>intersystem crossing rate constant</t>
  </si>
  <si>
    <t>reverse intersyste crossing rate constant</t>
  </si>
  <si>
    <t>prompt emission efficency</t>
  </si>
  <si>
    <t>delayed emission efficency</t>
  </si>
  <si>
    <t>Φ_PLQY</t>
  </si>
  <si>
    <t>General case: No intersystem crossing</t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</si>
  <si>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^S_r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</si>
  <si>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^S_nr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</si>
  <si>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^T_nr</t>
    </r>
  </si>
  <si>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>ISC ≈ 0</t>
    </r>
  </si>
  <si>
    <r>
      <t xml:space="preserve">Masui </t>
    </r>
    <r>
      <rPr>
        <i/>
        <sz val="12"/>
        <color theme="1"/>
        <rFont val="Calibri"/>
        <family val="2"/>
        <scheme val="minor"/>
      </rPr>
      <t xml:space="preserve">et.al. </t>
    </r>
    <r>
      <rPr>
        <sz val="12"/>
        <color theme="1"/>
        <rFont val="Calibri"/>
        <family val="2"/>
        <scheme val="minor"/>
      </rPr>
      <t>(10.1016/j.orgel.2013.07.010)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based on Goushi </t>
    </r>
    <r>
      <rPr>
        <i/>
        <sz val="12"/>
        <color theme="1"/>
        <rFont val="Calibri"/>
        <family val="2"/>
        <scheme val="minor"/>
      </rPr>
      <t>et.al.</t>
    </r>
    <r>
      <rPr>
        <sz val="12"/>
        <color theme="1"/>
        <rFont val="Calibri"/>
        <family val="2"/>
        <scheme val="minor"/>
      </rPr>
      <t xml:space="preserve"> (10.1038/nphoton.2012.31)</t>
    </r>
  </si>
  <si>
    <r>
      <t xml:space="preserve">Wada </t>
    </r>
    <r>
      <rPr>
        <i/>
        <sz val="12"/>
        <color theme="1"/>
        <rFont val="Calibri"/>
        <family val="2"/>
        <scheme val="minor"/>
      </rPr>
      <t>et.al</t>
    </r>
    <r>
      <rPr>
        <sz val="12"/>
        <color theme="1"/>
        <rFont val="Calibri"/>
        <family val="2"/>
        <scheme val="minor"/>
      </rPr>
      <t>. (10.1038/s41566-020-0667-0)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</si>
  <si>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_ISC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</si>
  <si>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_RISC</t>
    </r>
  </si>
  <si>
    <r>
      <t xml:space="preserve">Dias </t>
    </r>
    <r>
      <rPr>
        <i/>
        <sz val="12"/>
        <color theme="1"/>
        <rFont val="Calibri"/>
        <family val="2"/>
        <scheme val="minor"/>
      </rPr>
      <t>et.al.</t>
    </r>
    <r>
      <rPr>
        <sz val="12"/>
        <color theme="1"/>
        <rFont val="Calibri"/>
        <family val="2"/>
        <scheme val="minor"/>
      </rPr>
      <t xml:space="preserve"> (10.1002/advs.201600080 but better explained in 10.1088/2050-6120/aa537e)</t>
    </r>
  </si>
  <si>
    <t>RISC Calculator</t>
  </si>
  <si>
    <t>Ration delayed flourecence to delayed emission</t>
  </si>
  <si>
    <t>R^DF_DE</t>
  </si>
  <si>
    <t>Φ_ISC</t>
  </si>
  <si>
    <t>photoluminescnece quantum yield</t>
  </si>
  <si>
    <t>intersystem crossing quantum efficency</t>
  </si>
  <si>
    <t>radiative decay rate constant of T1</t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</si>
  <si>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^T_r</t>
    </r>
  </si>
  <si>
    <t>prompt Intensity onset</t>
  </si>
  <si>
    <t>A_p</t>
  </si>
  <si>
    <t>a.u.</t>
  </si>
  <si>
    <t>delayed intensity onset</t>
  </si>
  <si>
    <t>A_d</t>
  </si>
  <si>
    <t>decay constant of S1</t>
  </si>
  <si>
    <t>ration onset of delayed to prompt emission</t>
  </si>
  <si>
    <t>k^S</t>
  </si>
  <si>
    <t>a</t>
  </si>
  <si>
    <t>s^-1</t>
  </si>
  <si>
    <t>b</t>
  </si>
  <si>
    <t>c</t>
  </si>
  <si>
    <t>s^-2</t>
  </si>
  <si>
    <t>s^-3</t>
  </si>
  <si>
    <t>prompt emission efficency (calculated if not provided)</t>
  </si>
  <si>
    <t>delayed emission efficency (calculated if not provided)</t>
  </si>
  <si>
    <t>ratio delayed and prompt emission efficency</t>
  </si>
  <si>
    <t>Intermediate calculation for kISC</t>
  </si>
  <si>
    <t>d</t>
  </si>
  <si>
    <t>e</t>
  </si>
  <si>
    <t>f</t>
  </si>
  <si>
    <t>Intermediate calculation for kS</t>
  </si>
  <si>
    <t>n/2</t>
  </si>
  <si>
    <t>m/2</t>
  </si>
  <si>
    <t>R^DF_DE  ≈ 0</t>
  </si>
  <si>
    <t>maximal non-radiative decay rate constant of S1</t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</si>
  <si>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^S,max_nr</t>
    </r>
  </si>
  <si>
    <t>maximal non-radiative decay rate constant of T1</t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</si>
  <si>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^T,max_nr</t>
    </r>
  </si>
  <si>
    <t>intersystem crossing rate constant upper limit</t>
  </si>
  <si>
    <t>intersystem crossing rate constant lower limit</t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</si>
  <si>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_ISC^max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</si>
  <si>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_ISC^min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</si>
  <si>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_RISC^max</t>
    </r>
  </si>
  <si>
    <r>
      <rPr>
        <i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_RISC^min</t>
    </r>
  </si>
  <si>
    <t>reverse intersyste crossing rate constant upper limit</t>
  </si>
  <si>
    <t>reverse intersyste crossing rate constant lower limit</t>
  </si>
  <si>
    <t>Steady State Approximation (submitted, set of equations 1, preprint 10.26434/chemrxiv.14178113.v1)</t>
  </si>
  <si>
    <t>Exact equiation (submitted, set of equations 3, preprint 10.26434/chemrxiv.14178113.v1)</t>
  </si>
  <si>
    <t>Exact equiation with no phosphorescence (submitted, set of equations 4, preprint 10.26434/chemrxiv.14178113.v1)</t>
  </si>
  <si>
    <t>k^S &gt;&gt; k_RISC</t>
  </si>
  <si>
    <t>Φ_DE</t>
  </si>
  <si>
    <t>k^S &gt;&gt; k_RISC                                                                                                                                                           Seperate measurement of kISC is required</t>
  </si>
  <si>
    <r>
      <t>k^</t>
    </r>
    <r>
      <rPr>
        <sz val="12"/>
        <color rgb="FF7F7F7F"/>
        <rFont val="Calibri"/>
        <family val="2"/>
        <scheme val="minor"/>
      </rPr>
      <t>T_r</t>
    </r>
    <r>
      <rPr>
        <i/>
        <sz val="12"/>
        <color rgb="FF7F7F7F"/>
        <rFont val="Calibri"/>
        <family val="2"/>
        <scheme val="minor"/>
      </rPr>
      <t>,</t>
    </r>
    <r>
      <rPr>
        <sz val="12"/>
        <color rgb="FF7F7F7F"/>
        <rFont val="Calibri"/>
        <family val="2"/>
        <scheme val="minor"/>
      </rPr>
      <t xml:space="preserve"> ≈ </t>
    </r>
    <r>
      <rPr>
        <i/>
        <sz val="12"/>
        <color rgb="FF7F7F7F"/>
        <rFont val="Calibri"/>
        <family val="2"/>
        <scheme val="minor"/>
      </rPr>
      <t xml:space="preserve"> k^</t>
    </r>
    <r>
      <rPr>
        <sz val="12"/>
        <color rgb="FF7F7F7F"/>
        <rFont val="Calibri"/>
        <family val="2"/>
        <scheme val="minor"/>
      </rPr>
      <t xml:space="preserve">T_nr ≈ 0                                                                                                                   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 xml:space="preserve">^S_r, 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 xml:space="preserve">^S_nr &gt; 0                                                                                                            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 xml:space="preserve">_ISC &gt;&gt; 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>_RISC</t>
    </r>
  </si>
  <si>
    <r>
      <t>k_</t>
    </r>
    <r>
      <rPr>
        <sz val="12"/>
        <color rgb="FF7F7F7F"/>
        <rFont val="Calibri"/>
        <family val="2"/>
        <scheme val="minor"/>
      </rPr>
      <t xml:space="preserve">ISC, </t>
    </r>
    <r>
      <rPr>
        <i/>
        <sz val="12"/>
        <color rgb="FF7F7F7F"/>
        <rFont val="Calibri"/>
        <family val="2"/>
        <scheme val="minor"/>
      </rPr>
      <t>k^S_</t>
    </r>
    <r>
      <rPr>
        <sz val="12"/>
        <color rgb="FF7F7F7F"/>
        <rFont val="Calibri"/>
        <family val="2"/>
        <scheme val="minor"/>
      </rPr>
      <t xml:space="preserve">r &gt;&gt; </t>
    </r>
    <r>
      <rPr>
        <i/>
        <sz val="12"/>
        <color rgb="FF7F7F7F"/>
        <rFont val="Calibri"/>
        <family val="2"/>
        <scheme val="minor"/>
      </rPr>
      <t>k_</t>
    </r>
    <r>
      <rPr>
        <sz val="12"/>
        <color rgb="FF7F7F7F"/>
        <rFont val="Calibri"/>
        <family val="2"/>
        <scheme val="minor"/>
      </rPr>
      <t xml:space="preserve">RISC, 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 xml:space="preserve">^T_nr      </t>
    </r>
    <r>
      <rPr>
        <i/>
        <sz val="12"/>
        <color rgb="FF7F7F7F"/>
        <rFont val="Calibri"/>
        <family val="2"/>
        <scheme val="minor"/>
      </rPr>
      <t xml:space="preserve">                                                                                             k^</t>
    </r>
    <r>
      <rPr>
        <sz val="12"/>
        <color rgb="FF7F7F7F"/>
        <rFont val="Calibri"/>
        <family val="2"/>
        <scheme val="minor"/>
      </rPr>
      <t>S_nr ≈</t>
    </r>
    <r>
      <rPr>
        <i/>
        <sz val="12"/>
        <color rgb="FF7F7F7F"/>
        <rFont val="Calibri"/>
        <family val="2"/>
        <scheme val="minor"/>
      </rPr>
      <t xml:space="preserve"> k^</t>
    </r>
    <r>
      <rPr>
        <sz val="12"/>
        <color rgb="FF7F7F7F"/>
        <rFont val="Calibri"/>
        <family val="2"/>
        <scheme val="minor"/>
      </rPr>
      <t xml:space="preserve">T_r ≈ 0                                                                                                                                   Promt PL should be </t>
    </r>
    <r>
      <rPr>
        <i/>
        <sz val="12"/>
        <color rgb="FF7F7F7F"/>
        <rFont val="Calibri"/>
        <family val="2"/>
        <scheme val="minor"/>
      </rPr>
      <t>T</t>
    </r>
    <r>
      <rPr>
        <sz val="12"/>
        <color rgb="FF7F7F7F"/>
        <rFont val="Calibri"/>
        <family val="2"/>
        <scheme val="minor"/>
      </rPr>
      <t xml:space="preserve"> independent.       </t>
    </r>
  </si>
  <si>
    <r>
      <t>k</t>
    </r>
    <r>
      <rPr>
        <sz val="12"/>
        <color rgb="FF7F7F7F"/>
        <rFont val="Calibri"/>
        <family val="2"/>
        <scheme val="minor"/>
      </rPr>
      <t xml:space="preserve">ISC &gt;&gt; k^S_r  &gt;&gt; k^S_nr                                                                                                               </t>
    </r>
    <r>
      <rPr>
        <i/>
        <sz val="12"/>
        <color rgb="FF7F7F7F"/>
        <rFont val="Calibri"/>
        <family val="2"/>
        <scheme val="minor"/>
      </rPr>
      <t>k_</t>
    </r>
    <r>
      <rPr>
        <sz val="12"/>
        <color rgb="FF7F7F7F"/>
        <rFont val="Calibri"/>
        <family val="2"/>
        <scheme val="minor"/>
      </rPr>
      <t>ISC &gt;&gt;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 xml:space="preserve">RISC                                                                                                                                  </t>
    </r>
    <r>
      <rPr>
        <i/>
        <sz val="12"/>
        <color rgb="FF7F7F7F"/>
        <rFont val="Calibri"/>
        <family val="2"/>
        <scheme val="minor"/>
      </rPr>
      <t>k</t>
    </r>
    <r>
      <rPr>
        <sz val="12"/>
        <color rgb="FF7F7F7F"/>
        <rFont val="Calibri"/>
        <family val="2"/>
        <scheme val="minor"/>
      </rPr>
      <t>^T_r</t>
    </r>
    <r>
      <rPr>
        <i/>
        <sz val="12"/>
        <color rgb="FF7F7F7F"/>
        <rFont val="Calibri"/>
        <family val="2"/>
        <scheme val="minor"/>
      </rPr>
      <t>, ≈  k^</t>
    </r>
    <r>
      <rPr>
        <sz val="12"/>
        <color rgb="FF7F7F7F"/>
        <rFont val="Calibri"/>
        <family val="2"/>
        <scheme val="minor"/>
      </rPr>
      <t>T_nr</t>
    </r>
    <r>
      <rPr>
        <i/>
        <sz val="12"/>
        <color rgb="FF7F7F7F"/>
        <rFont val="Calibri"/>
        <family val="2"/>
        <scheme val="minor"/>
      </rPr>
      <t xml:space="preserve"> ≈ 0                                                                                                                            Φ_d/Φ_p ≥ 4</t>
    </r>
  </si>
  <si>
    <t>Φ_PF</t>
  </si>
  <si>
    <t>Φ^DE_PF</t>
  </si>
  <si>
    <t>A^DE_PF</t>
  </si>
  <si>
    <t>Steady State approximation with upper and lower limits (submitted, set of equations 2, preprint 10.26434/chemrxiv.14178113.v1)</t>
  </si>
  <si>
    <r>
      <t xml:space="preserve">No assumption required. Solve by numerical analysis: </t>
    </r>
    <r>
      <rPr>
        <sz val="12"/>
        <color rgb="FF7F7F7F"/>
        <rFont val="Calibri"/>
        <family val="2"/>
        <scheme val="minor"/>
      </rPr>
      <t>I</t>
    </r>
    <r>
      <rPr>
        <i/>
        <sz val="12"/>
        <color rgb="FF7F7F7F"/>
        <rFont val="Calibri"/>
        <family val="2"/>
        <scheme val="minor"/>
      </rPr>
      <t>tterativly guess kISC in orange field. Start with recommended value and take resutling kISC in guess. Repeat until all rates positive and variations between itterations minimal</t>
    </r>
  </si>
  <si>
    <t>Recurisive guess for kISC</t>
  </si>
  <si>
    <t>Recomended start value for KISC guess</t>
  </si>
  <si>
    <t xml:space="preserve">version 6 by Stefan Diesing (sd256@st-andrews.ac.uk)            </t>
  </si>
  <si>
    <t>ns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</si>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</sst>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i/>
      <sz val="12"/>
      <color rgb="FF7F7F7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7F7F7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7F7F7F"/>
      </top>
      <bottom/>
      <diagonal/>
    </border>
  </borders>
  <cellStyleXfs count="7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39">
    <xf numFmtId="0" fontId="0" fillId="0" borderId="0" xfId="0"/>
    <xf numFmtId="0" fontId="1" fillId="4" borderId="0" xfId="4"/>
    <xf numFmtId="0" fontId="1" fillId="4" borderId="0" xfId="4" applyBorder="1"/>
    <xf numFmtId="0" fontId="0" fillId="4" borderId="0" xfId="4" applyFont="1" applyBorder="1"/>
    <xf numFmtId="0" fontId="1" fillId="5" borderId="0" xfId="5"/>
    <xf numFmtId="0" fontId="0" fillId="5" borderId="0" xfId="5" applyFont="1" applyBorder="1"/>
    <xf numFmtId="0" fontId="0" fillId="4" borderId="0" xfId="4" applyFont="1"/>
    <xf numFmtId="0" fontId="1" fillId="5" borderId="0" xfId="5" applyBorder="1"/>
    <xf numFmtId="0" fontId="1" fillId="6" borderId="0" xfId="6"/>
    <xf numFmtId="11" fontId="2" fillId="2" borderId="1" xfId="1" applyNumberFormat="1" applyAlignment="1">
      <alignment horizontal="right"/>
    </xf>
    <xf numFmtId="0" fontId="1" fillId="5" borderId="3" xfId="5" applyBorder="1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5" borderId="0" xfId="5" applyAlignment="1">
      <alignment horizontal="right"/>
    </xf>
    <xf numFmtId="11" fontId="3" fillId="0" borderId="0" xfId="3" applyNumberFormat="1" applyAlignment="1">
      <alignment horizontal="right"/>
    </xf>
    <xf numFmtId="0" fontId="3" fillId="0" borderId="0" xfId="3" applyAlignment="1">
      <alignment horizontal="right"/>
    </xf>
    <xf numFmtId="0" fontId="0" fillId="7" borderId="0" xfId="4" applyFont="1" applyFill="1" applyBorder="1"/>
    <xf numFmtId="0" fontId="1" fillId="7" borderId="0" xfId="4" applyFill="1"/>
    <xf numFmtId="11" fontId="0" fillId="7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0" fontId="0" fillId="8" borderId="0" xfId="4" applyFont="1" applyFill="1" applyBorder="1"/>
    <xf numFmtId="0" fontId="1" fillId="8" borderId="0" xfId="4" applyFill="1"/>
    <xf numFmtId="164" fontId="1" fillId="8" borderId="0" xfId="6" applyNumberFormat="1" applyFill="1" applyAlignment="1">
      <alignment horizontal="right"/>
    </xf>
    <xf numFmtId="0" fontId="1" fillId="8" borderId="0" xfId="6" applyFill="1"/>
    <xf numFmtId="0" fontId="1" fillId="8" borderId="0" xfId="5" applyFill="1"/>
    <xf numFmtId="0" fontId="0" fillId="8" borderId="2" xfId="2" applyFont="1" applyFill="1" applyAlignment="1">
      <alignment horizontal="right" vertical="top" wrapText="1" shrinkToFit="1"/>
    </xf>
    <xf numFmtId="0" fontId="2" fillId="0" borderId="1" xfId="1" applyFill="1" applyAlignment="1">
      <alignment horizontal="right"/>
    </xf>
    <xf numFmtId="11" fontId="2" fillId="0" borderId="1" xfId="1" applyNumberFormat="1" applyFill="1" applyAlignment="1">
      <alignment horizontal="right"/>
    </xf>
    <xf numFmtId="2" fontId="2" fillId="0" borderId="1" xfId="1" applyNumberFormat="1" applyFill="1" applyAlignment="1">
      <alignment horizontal="right"/>
    </xf>
    <xf numFmtId="10" fontId="2" fillId="0" borderId="1" xfId="1" applyNumberFormat="1" applyFill="1" applyAlignment="1">
      <alignment horizontal="right"/>
    </xf>
    <xf numFmtId="0" fontId="1" fillId="9" borderId="0" xfId="4" applyFill="1"/>
    <xf numFmtId="0" fontId="1" fillId="9" borderId="0" xfId="6" applyFill="1"/>
    <xf numFmtId="2" fontId="2" fillId="9" borderId="1" xfId="1" applyNumberFormat="1" applyFill="1" applyAlignment="1">
      <alignment horizontal="right"/>
    </xf>
    <xf numFmtId="0" fontId="3" fillId="0" borderId="0" xfId="0" applyFont="1" applyAlignment="1">
      <alignment horizontal="left" vertical="top" wrapText="1"/>
    </xf>
    <xf numFmtId="0" fontId="0" fillId="0" borderId="2" xfId="2" applyFont="1" applyFill="1" applyAlignment="1">
      <alignment horizontal="right" vertical="top" wrapText="1" shrinkToFit="1"/>
    </xf>
    <xf numFmtId="0" fontId="1" fillId="5" borderId="0" xfId="5" applyAlignment="1">
      <alignment horizontal="left"/>
    </xf>
    <xf numFmtId="0" fontId="5" fillId="0" borderId="0" xfId="3" applyFont="1" applyAlignment="1">
      <alignment horizontal="left" vertical="top"/>
    </xf>
    <xf numFmtId="0" fontId="0" fillId="4" borderId="0" xfId="4" applyFont="1" applyAlignment="1">
      <alignment horizontal="left" vertical="top"/>
    </xf>
    <xf numFmtId="0" fontId="1" fillId="4" borderId="0" xfId="4" applyAlignment="1">
      <alignment horizontal="left" vertical="top"/>
    </xf>
  </cellXfs>
  <cellStyles count="7">
    <cellStyle name="20% - Accent3" xfId="4" builtinId="38"/>
    <cellStyle name="20% - Accent5" xfId="6" builtinId="46"/>
    <cellStyle name="60% - Accent3" xfId="5" builtinId="40"/>
    <cellStyle name="Explanatory Text" xfId="3" builtinId="53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25</xdr:row>
      <xdr:rowOff>133350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D56AD2E0-9530-4271-A256-12EDD22B9E0C}"/>
            </a:ext>
          </a:extLst>
        </xdr:cNvPr>
        <xdr:cNvSpPr txBox="1"/>
      </xdr:nvSpPr>
      <xdr:spPr>
        <a:xfrm>
          <a:off x="16617950" y="572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0</xdr:colOff>
      <xdr:row>27</xdr:row>
      <xdr:rowOff>133350</xdr:rowOff>
    </xdr:from>
    <xdr:ext cx="65" cy="172227"/>
    <xdr:sp macro="" textlink="">
      <xdr:nvSpPr>
        <xdr:cNvPr id="3" name="Textfeld 7">
          <a:extLst>
            <a:ext uri="{FF2B5EF4-FFF2-40B4-BE49-F238E27FC236}">
              <a16:creationId xmlns:a16="http://schemas.microsoft.com/office/drawing/2014/main" id="{B028427D-4275-4C0D-AD00-F8FB1695FE7A}"/>
            </a:ext>
          </a:extLst>
        </xdr:cNvPr>
        <xdr:cNvSpPr txBox="1"/>
      </xdr:nvSpPr>
      <xdr:spPr>
        <a:xfrm>
          <a:off x="16617950" y="61192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0</xdr:colOff>
      <xdr:row>25</xdr:row>
      <xdr:rowOff>133350</xdr:rowOff>
    </xdr:from>
    <xdr:ext cx="65" cy="172227"/>
    <xdr:sp macro="" textlink="">
      <xdr:nvSpPr>
        <xdr:cNvPr id="6" name="Textfeld 13">
          <a:extLst>
            <a:ext uri="{FF2B5EF4-FFF2-40B4-BE49-F238E27FC236}">
              <a16:creationId xmlns:a16="http://schemas.microsoft.com/office/drawing/2014/main" id="{6BDCCDCD-9436-48C3-BCD4-87713CCAED32}"/>
            </a:ext>
          </a:extLst>
        </xdr:cNvPr>
        <xdr:cNvSpPr txBox="1"/>
      </xdr:nvSpPr>
      <xdr:spPr>
        <a:xfrm>
          <a:off x="19888200" y="5721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0</xdr:colOff>
      <xdr:row>27</xdr:row>
      <xdr:rowOff>133350</xdr:rowOff>
    </xdr:from>
    <xdr:ext cx="65" cy="172227"/>
    <xdr:sp macro="" textlink="">
      <xdr:nvSpPr>
        <xdr:cNvPr id="7" name="Textfeld 14">
          <a:extLst>
            <a:ext uri="{FF2B5EF4-FFF2-40B4-BE49-F238E27FC236}">
              <a16:creationId xmlns:a16="http://schemas.microsoft.com/office/drawing/2014/main" id="{37B8C150-F150-4CCB-B1C8-3B8777CBD4DB}"/>
            </a:ext>
          </a:extLst>
        </xdr:cNvPr>
        <xdr:cNvSpPr txBox="1"/>
      </xdr:nvSpPr>
      <xdr:spPr>
        <a:xfrm>
          <a:off x="19888200" y="61192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twoCellAnchor>
    <xdr:from>
      <xdr:col>0</xdr:col>
      <xdr:colOff>30480</xdr:colOff>
      <xdr:row>2</xdr:row>
      <xdr:rowOff>20320</xdr:rowOff>
    </xdr:from>
    <xdr:to>
      <xdr:col>0</xdr:col>
      <xdr:colOff>3393440</xdr:colOff>
      <xdr:row>2</xdr:row>
      <xdr:rowOff>873760</xdr:rowOff>
    </xdr:to>
    <xdr:sp macro="" textlink="">
      <xdr:nvSpPr>
        <xdr:cNvPr id="10" name="Textfeld 2">
          <a:extLst>
            <a:ext uri="{FF2B5EF4-FFF2-40B4-BE49-F238E27FC236}">
              <a16:creationId xmlns:a16="http://schemas.microsoft.com/office/drawing/2014/main" id="{8A9361BC-B263-4E0D-9DAC-13821A966F49}"/>
            </a:ext>
          </a:extLst>
        </xdr:cNvPr>
        <xdr:cNvSpPr txBox="1"/>
      </xdr:nvSpPr>
      <xdr:spPr>
        <a:xfrm>
          <a:off x="30480" y="422487"/>
          <a:ext cx="3362960" cy="853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Enter</a:t>
          </a:r>
          <a:r>
            <a:rPr lang="de-DE" sz="1100" baseline="0"/>
            <a:t> values in orange fields.</a:t>
          </a:r>
        </a:p>
        <a:p>
          <a:r>
            <a:rPr lang="de-DE" sz="1100" baseline="0"/>
            <a:t>Recomended set of parameters:</a:t>
          </a:r>
        </a:p>
        <a:p>
          <a:r>
            <a:rPr lang="de-D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𝜏_p</a:t>
          </a:r>
          <a:r>
            <a:rPr lang="de-DE"/>
            <a:t> </a:t>
          </a:r>
          <a:r>
            <a:rPr lang="de-D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A_p</a:t>
          </a:r>
          <a:r>
            <a:rPr lang="de-DE"/>
            <a:t> </a:t>
          </a:r>
          <a:r>
            <a:rPr lang="de-D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𝜏_d</a:t>
          </a:r>
          <a:r>
            <a:rPr lang="de-DE"/>
            <a:t> </a:t>
          </a:r>
          <a:r>
            <a:rPr lang="de-D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A_d</a:t>
          </a:r>
          <a:r>
            <a:rPr lang="de-DE"/>
            <a:t> 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Φ_</a:t>
          </a:r>
          <a:r>
            <a:rPr lang="de-D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PLQY</a:t>
          </a:r>
          <a:r>
            <a:rPr lang="de-DE"/>
            <a:t> </a:t>
          </a:r>
          <a:endParaRPr lang="de-DE" sz="1100"/>
        </a:p>
      </xdr:txBody>
    </xdr:sp>
    <xdr:clientData/>
  </xdr:twoCellAnchor>
  <xdr:oneCellAnchor>
    <xdr:from>
      <xdr:col>4</xdr:col>
      <xdr:colOff>0</xdr:colOff>
      <xdr:row>25</xdr:row>
      <xdr:rowOff>133350</xdr:rowOff>
    </xdr:from>
    <xdr:ext cx="65" cy="172227"/>
    <xdr:sp macro="" textlink="">
      <xdr:nvSpPr>
        <xdr:cNvPr id="4" name="Textfeld 1">
          <a:extLst>
            <a:ext uri="{FF2B5EF4-FFF2-40B4-BE49-F238E27FC236}">
              <a16:creationId xmlns:a16="http://schemas.microsoft.com/office/drawing/2014/main" id="{6627E114-79FE-4216-B604-B16D5680A811}"/>
            </a:ext>
          </a:extLst>
        </xdr:cNvPr>
        <xdr:cNvSpPr txBox="1"/>
      </xdr:nvSpPr>
      <xdr:spPr>
        <a:xfrm>
          <a:off x="6029739" y="611523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0</xdr:colOff>
      <xdr:row>27</xdr:row>
      <xdr:rowOff>133350</xdr:rowOff>
    </xdr:from>
    <xdr:ext cx="65" cy="172227"/>
    <xdr:sp macro="" textlink="">
      <xdr:nvSpPr>
        <xdr:cNvPr id="5" name="Textfeld 7">
          <a:extLst>
            <a:ext uri="{FF2B5EF4-FFF2-40B4-BE49-F238E27FC236}">
              <a16:creationId xmlns:a16="http://schemas.microsoft.com/office/drawing/2014/main" id="{327976E7-26F7-4E2A-8A67-719E310D8D09}"/>
            </a:ext>
          </a:extLst>
        </xdr:cNvPr>
        <xdr:cNvSpPr txBox="1"/>
      </xdr:nvSpPr>
      <xdr:spPr>
        <a:xfrm>
          <a:off x="6029739" y="651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0</xdr:colOff>
      <xdr:row>25</xdr:row>
      <xdr:rowOff>133350</xdr:rowOff>
    </xdr:from>
    <xdr:ext cx="65" cy="172227"/>
    <xdr:sp macro="" textlink="">
      <xdr:nvSpPr>
        <xdr:cNvPr id="8" name="Textfeld 13">
          <a:extLst>
            <a:ext uri="{FF2B5EF4-FFF2-40B4-BE49-F238E27FC236}">
              <a16:creationId xmlns:a16="http://schemas.microsoft.com/office/drawing/2014/main" id="{D603C44E-75E2-4704-9118-35401B1288B2}"/>
            </a:ext>
          </a:extLst>
        </xdr:cNvPr>
        <xdr:cNvSpPr txBox="1"/>
      </xdr:nvSpPr>
      <xdr:spPr>
        <a:xfrm>
          <a:off x="6029739" y="611523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0</xdr:colOff>
      <xdr:row>27</xdr:row>
      <xdr:rowOff>133350</xdr:rowOff>
    </xdr:from>
    <xdr:ext cx="65" cy="172227"/>
    <xdr:sp macro="" textlink="">
      <xdr:nvSpPr>
        <xdr:cNvPr id="9" name="Textfeld 14">
          <a:extLst>
            <a:ext uri="{FF2B5EF4-FFF2-40B4-BE49-F238E27FC236}">
              <a16:creationId xmlns:a16="http://schemas.microsoft.com/office/drawing/2014/main" id="{38371DBE-2BE7-4A20-8E33-B9AA1FEDE702}"/>
            </a:ext>
          </a:extLst>
        </xdr:cNvPr>
        <xdr:cNvSpPr txBox="1"/>
      </xdr:nvSpPr>
      <xdr:spPr>
        <a:xfrm>
          <a:off x="6029739" y="651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fan Diesing" id="{3323ED84-AB8D-8C4F-9CD9-CB734681FB3D}" userId="S::sd256@st-andrews.ac.uk::57d875fc-fa44-448b-a3fa-0badfb70e7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1-04-27T13:30:53.14" personId="{3323ED84-AB8D-8C4F-9CD9-CB734681FB3D}" id="{B4033CDA-FAD3-47B6-8A95-DC98B796FF30}">
    <text>PLQY has to be measured in an oxygen free environment</text>
  </threadedComment>
  <threadedComment ref="B14" dT="2021-04-27T13:30:08.73" personId="{3323ED84-AB8D-8C4F-9CD9-CB734681FB3D}" id="{CC05112E-C0C9-4D6D-A761-5B599F1E7930}">
    <text>Some calculation require a separate measurement for the ISC efficency. Assuming no k^S_nr =&gt; Φ_ISC = 1-Φ_PF</text>
  </threadedComment>
  <threadedComment ref="B15" dT="2021-04-27T13:29:22.88" personId="{3323ED84-AB8D-8C4F-9CD9-CB734681FB3D}" id="{67203F42-0FC8-4B83-82E6-309C7FF4A954}">
    <text>Requires estimation from spectral shift. If no spectral shift has been recorded, a value of 1 can be set to assume no phosphorescence</text>
  </threadedComment>
  <threadedComment ref="B21" dT="2021-04-27T13:28:01.50" personId="{3323ED84-AB8D-8C4F-9CD9-CB734681FB3D}" id="{6B6CE456-BCCE-4767-8AF6-00E14D69AE56}">
    <text>Used when no explicit calculation is shown in paper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11B9-E2C0-43A6-AD9D-78CF39F14210}">
  <dimension ref="A1:D87"/>
  <sheetViews>
    <sheetView tabSelected="1" zoomScale="115" zoomScaleNormal="115" workbookViewId="0">
      <pane ySplit="12" topLeftCell="A67" activePane="bottomLeft" state="frozen"/>
      <selection pane="bottomLeft" activeCell="D12" sqref="D12"/>
    </sheetView>
  </sheetViews>
  <sheetFormatPr defaultColWidth="11.19921875" defaultRowHeight="15.6" x14ac:dyDescent="0.6"/>
  <cols>
    <col min="1" max="1" width="45.5" customWidth="1"/>
    <col min="2" max="2" width="10.5" customWidth="1"/>
    <col min="3" max="3" width="5" customWidth="1"/>
    <col min="4" max="4" width="18.09765625" style="12" customWidth="1"/>
  </cols>
  <sheetData>
    <row r="1" spans="1:4" x14ac:dyDescent="0.6">
      <c r="A1" s="35" t="s">
        <v>32</v>
      </c>
      <c r="B1" s="35"/>
      <c r="C1" s="35"/>
      <c r="D1" s="26"/>
    </row>
    <row r="2" spans="1:4" ht="16.149999999999999" customHeight="1" x14ac:dyDescent="0.6">
      <c r="A2" s="37" t="s">
        <v>93</v>
      </c>
      <c r="B2" s="38"/>
      <c r="C2" s="38"/>
      <c r="D2" s="34"/>
    </row>
    <row r="3" spans="1:4" ht="70.95" customHeight="1" x14ac:dyDescent="0.6">
      <c r="A3" s="38"/>
      <c r="B3" s="38"/>
      <c r="C3" s="38"/>
      <c r="D3" s="34"/>
    </row>
    <row r="4" spans="1:4" x14ac:dyDescent="0.6">
      <c r="A4" s="4" t="s">
        <v>5</v>
      </c>
      <c r="B4" s="4" t="s">
        <v>4</v>
      </c>
      <c r="C4" s="4" t="s">
        <v>3</v>
      </c>
      <c r="D4" s="34"/>
    </row>
    <row r="5" spans="1:4" x14ac:dyDescent="0.6">
      <c r="A5" s="21" t="s">
        <v>0</v>
      </c>
      <c r="B5" s="23" t="s">
        <v>13</v>
      </c>
      <c r="C5" s="24" t="s">
        <v>94</v>
      </c>
      <c r="D5" s="25">
        <v>2.82</v>
      </c>
    </row>
    <row r="6" spans="1:4" x14ac:dyDescent="0.6">
      <c r="A6" s="1" t="s">
        <v>0</v>
      </c>
      <c r="B6" s="8" t="s">
        <v>13</v>
      </c>
      <c r="C6" s="1" t="s">
        <v>2</v>
      </c>
      <c r="D6" s="27">
        <f>D5/1000000000</f>
        <v>2.8199999999999998E-9</v>
      </c>
    </row>
    <row r="7" spans="1:4" x14ac:dyDescent="0.6">
      <c r="A7" s="1" t="s">
        <v>40</v>
      </c>
      <c r="B7" s="8" t="s">
        <v>41</v>
      </c>
      <c r="C7" s="1" t="s">
        <v>42</v>
      </c>
      <c r="D7" s="27"/>
    </row>
    <row r="8" spans="1:4" x14ac:dyDescent="0.6">
      <c r="A8" s="30" t="s">
        <v>1</v>
      </c>
      <c r="B8" s="31" t="s">
        <v>12</v>
      </c>
      <c r="C8" s="30" t="s">
        <v>95</v>
      </c>
      <c r="D8" s="32">
        <v>525.46</v>
      </c>
    </row>
    <row r="9" spans="1:4" x14ac:dyDescent="0.6">
      <c r="A9" s="1" t="s">
        <v>1</v>
      </c>
      <c r="B9" s="8" t="s">
        <v>12</v>
      </c>
      <c r="C9" s="1" t="s">
        <v>2</v>
      </c>
      <c r="D9" s="27">
        <f>D8/1000000</f>
        <v>5.2546000000000005E-4</v>
      </c>
    </row>
    <row r="10" spans="1:4" x14ac:dyDescent="0.6">
      <c r="A10" s="1" t="s">
        <v>43</v>
      </c>
      <c r="B10" s="8" t="s">
        <v>44</v>
      </c>
      <c r="C10" s="1" t="s">
        <v>42</v>
      </c>
      <c r="D10" s="27"/>
    </row>
    <row r="11" spans="1:4" x14ac:dyDescent="0.6">
      <c r="A11" s="1" t="s">
        <v>19</v>
      </c>
      <c r="B11" s="6" t="s">
        <v>86</v>
      </c>
      <c r="C11" s="1"/>
      <c r="D11" s="29">
        <v>0.54059999999999997</v>
      </c>
    </row>
    <row r="12" spans="1:4" x14ac:dyDescent="0.6">
      <c r="A12" s="1" t="s">
        <v>20</v>
      </c>
      <c r="B12" s="6" t="s">
        <v>81</v>
      </c>
      <c r="C12" s="1"/>
      <c r="D12" s="29">
        <f>D13-D11</f>
        <v>0.33169999999999999</v>
      </c>
    </row>
    <row r="13" spans="1:4" x14ac:dyDescent="0.6">
      <c r="A13" s="1" t="s">
        <v>36</v>
      </c>
      <c r="B13" s="8" t="s">
        <v>21</v>
      </c>
      <c r="C13" s="1"/>
      <c r="D13" s="29">
        <v>0.87229999999999996</v>
      </c>
    </row>
    <row r="14" spans="1:4" x14ac:dyDescent="0.6">
      <c r="A14" s="1" t="s">
        <v>37</v>
      </c>
      <c r="B14" s="6" t="s">
        <v>35</v>
      </c>
      <c r="C14" s="1"/>
      <c r="D14" s="28"/>
    </row>
    <row r="15" spans="1:4" x14ac:dyDescent="0.6">
      <c r="A15" s="1" t="s">
        <v>33</v>
      </c>
      <c r="B15" s="6" t="s">
        <v>34</v>
      </c>
      <c r="C15" s="1"/>
      <c r="D15" s="28">
        <v>1</v>
      </c>
    </row>
    <row r="16" spans="1:4" x14ac:dyDescent="0.6">
      <c r="A16" s="35" t="s">
        <v>6</v>
      </c>
      <c r="B16" s="35"/>
      <c r="C16" s="35"/>
      <c r="D16" s="10"/>
    </row>
    <row r="17" spans="1:4" x14ac:dyDescent="0.6">
      <c r="A17" s="2" t="s">
        <v>7</v>
      </c>
      <c r="B17" s="3" t="s">
        <v>14</v>
      </c>
      <c r="C17" s="1" t="s">
        <v>9</v>
      </c>
      <c r="D17" s="11">
        <f>1/D6</f>
        <v>354609929.07801419</v>
      </c>
    </row>
    <row r="18" spans="1:4" x14ac:dyDescent="0.6">
      <c r="A18" s="2" t="s">
        <v>8</v>
      </c>
      <c r="B18" s="3" t="s">
        <v>15</v>
      </c>
      <c r="C18" s="1" t="s">
        <v>9</v>
      </c>
      <c r="D18" s="11">
        <f t="shared" ref="D18" si="0">1/D9</f>
        <v>1903.0944315456932</v>
      </c>
    </row>
    <row r="19" spans="1:4" x14ac:dyDescent="0.6">
      <c r="A19" s="2" t="s">
        <v>54</v>
      </c>
      <c r="B19" s="6" t="s">
        <v>86</v>
      </c>
      <c r="C19" s="1"/>
      <c r="D19" s="11">
        <f t="shared" ref="D19" si="1">IF(ISBLANK(D11),D13*((D10+D7)*D18)/(D7*D18+D10*D17),D11)</f>
        <v>0.54059999999999997</v>
      </c>
    </row>
    <row r="20" spans="1:4" x14ac:dyDescent="0.6">
      <c r="A20" s="2" t="s">
        <v>55</v>
      </c>
      <c r="B20" s="6" t="s">
        <v>81</v>
      </c>
      <c r="C20" s="1"/>
      <c r="D20" s="11">
        <f t="shared" ref="D20" si="2">IF(ISBLANK(D$12),D13*(D10*(D17-D18))/(D7*D18+D10*D17),D$12)</f>
        <v>0.33169999999999999</v>
      </c>
    </row>
    <row r="21" spans="1:4" x14ac:dyDescent="0.6">
      <c r="A21" s="2" t="s">
        <v>56</v>
      </c>
      <c r="B21" s="6" t="s">
        <v>87</v>
      </c>
      <c r="C21" s="1"/>
      <c r="D21" s="11">
        <f t="shared" ref="D21" si="3">D20/D19</f>
        <v>0.61357750647428788</v>
      </c>
    </row>
    <row r="22" spans="1:4" x14ac:dyDescent="0.6">
      <c r="A22" s="2" t="s">
        <v>46</v>
      </c>
      <c r="B22" s="3" t="s">
        <v>88</v>
      </c>
      <c r="C22" s="1"/>
      <c r="D22" s="12">
        <f>IF(OR(ISBLANK(D10),ISBLANK(D7)),(D20*D18)/(D19*D17),D10/D7)</f>
        <v>3.2929025392180028E-6</v>
      </c>
    </row>
    <row r="23" spans="1:4" x14ac:dyDescent="0.6">
      <c r="A23" s="5" t="s">
        <v>22</v>
      </c>
      <c r="B23" s="4"/>
      <c r="C23" s="4"/>
      <c r="D23" s="13"/>
    </row>
    <row r="24" spans="1:4" ht="40.15" customHeight="1" x14ac:dyDescent="0.6">
      <c r="A24" s="36" t="s">
        <v>26</v>
      </c>
      <c r="B24" s="36"/>
      <c r="C24" s="36"/>
      <c r="D24" s="19"/>
    </row>
    <row r="25" spans="1:4" x14ac:dyDescent="0.6">
      <c r="A25" s="2" t="s">
        <v>10</v>
      </c>
      <c r="B25" s="3" t="s">
        <v>23</v>
      </c>
      <c r="C25" s="1" t="s">
        <v>9</v>
      </c>
      <c r="D25" s="11">
        <f t="shared" ref="D25" si="4">D17*D13</f>
        <v>309326241.1347518</v>
      </c>
    </row>
    <row r="26" spans="1:4" x14ac:dyDescent="0.6">
      <c r="A26" s="3" t="s">
        <v>11</v>
      </c>
      <c r="B26" s="3" t="s">
        <v>24</v>
      </c>
      <c r="C26" s="1" t="s">
        <v>9</v>
      </c>
      <c r="D26" s="11">
        <f t="shared" ref="D26" si="5">D17-D25</f>
        <v>45283687.943262398</v>
      </c>
    </row>
    <row r="27" spans="1:4" x14ac:dyDescent="0.6">
      <c r="A27" s="5" t="s">
        <v>27</v>
      </c>
      <c r="B27" s="4"/>
      <c r="C27" s="4"/>
      <c r="D27" s="13"/>
    </row>
    <row r="28" spans="1:4" ht="52.95" customHeight="1" x14ac:dyDescent="0.6">
      <c r="A28" s="33" t="s">
        <v>84</v>
      </c>
      <c r="B28" s="33"/>
      <c r="C28" s="33"/>
      <c r="D28" s="19"/>
    </row>
    <row r="29" spans="1:4" x14ac:dyDescent="0.6">
      <c r="A29" s="2" t="s">
        <v>10</v>
      </c>
      <c r="B29" s="3" t="s">
        <v>23</v>
      </c>
      <c r="C29" s="1" t="s">
        <v>9</v>
      </c>
      <c r="D29" s="11">
        <f t="shared" ref="D29" si="6">D19*D17</f>
        <v>191702127.65957445</v>
      </c>
    </row>
    <row r="30" spans="1:4" x14ac:dyDescent="0.6">
      <c r="A30" s="3" t="s">
        <v>16</v>
      </c>
      <c r="B30" s="3" t="s">
        <v>25</v>
      </c>
      <c r="C30" s="1" t="s">
        <v>9</v>
      </c>
      <c r="D30" s="11">
        <f t="shared" ref="D30" si="7">D18-D19*D32</f>
        <v>529.00557010967577</v>
      </c>
    </row>
    <row r="31" spans="1:4" x14ac:dyDescent="0.6">
      <c r="A31" s="3" t="s">
        <v>17</v>
      </c>
      <c r="B31" s="3" t="s">
        <v>29</v>
      </c>
      <c r="C31" s="1" t="s">
        <v>9</v>
      </c>
      <c r="D31" s="11">
        <f t="shared" ref="D31" si="8">(1-D19)*D17</f>
        <v>162907801.41843975</v>
      </c>
    </row>
    <row r="32" spans="1:4" x14ac:dyDescent="0.6">
      <c r="A32" s="3" t="s">
        <v>18</v>
      </c>
      <c r="B32" s="3" t="s">
        <v>30</v>
      </c>
      <c r="C32" s="1" t="s">
        <v>9</v>
      </c>
      <c r="D32" s="11">
        <f t="shared" ref="D32" si="9">(D17*D18)/(D31)*D21</f>
        <v>2541.7847973289263</v>
      </c>
    </row>
    <row r="33" spans="1:4" x14ac:dyDescent="0.6">
      <c r="A33" s="5" t="s">
        <v>31</v>
      </c>
      <c r="B33" s="4"/>
      <c r="C33" s="4"/>
      <c r="D33" s="13"/>
    </row>
    <row r="34" spans="1:4" ht="64.150000000000006" customHeight="1" x14ac:dyDescent="0.6">
      <c r="A34" s="33" t="s">
        <v>85</v>
      </c>
      <c r="B34" s="33"/>
      <c r="C34" s="33"/>
      <c r="D34"/>
    </row>
    <row r="35" spans="1:4" x14ac:dyDescent="0.6">
      <c r="A35" s="2" t="s">
        <v>10</v>
      </c>
      <c r="B35" s="3" t="s">
        <v>23</v>
      </c>
      <c r="C35" s="1" t="s">
        <v>9</v>
      </c>
      <c r="D35" s="11">
        <f>D17*D19</f>
        <v>191702127.65957445</v>
      </c>
    </row>
    <row r="36" spans="1:4" x14ac:dyDescent="0.6">
      <c r="A36" s="3" t="s">
        <v>11</v>
      </c>
      <c r="B36" s="3" t="s">
        <v>24</v>
      </c>
      <c r="C36" s="1" t="s">
        <v>9</v>
      </c>
      <c r="D36" s="11">
        <f>D17-D35-D37</f>
        <v>28064154.19251138</v>
      </c>
    </row>
    <row r="37" spans="1:4" x14ac:dyDescent="0.6">
      <c r="A37" s="3" t="s">
        <v>17</v>
      </c>
      <c r="B37" s="3" t="s">
        <v>29</v>
      </c>
      <c r="C37" s="1" t="s">
        <v>9</v>
      </c>
      <c r="D37" s="11">
        <f>D17*D20/(D19+D20)</f>
        <v>134843647.22592837</v>
      </c>
    </row>
    <row r="38" spans="1:4" x14ac:dyDescent="0.6">
      <c r="A38" s="3" t="s">
        <v>18</v>
      </c>
      <c r="B38" s="3" t="s">
        <v>30</v>
      </c>
      <c r="C38" s="1" t="s">
        <v>9</v>
      </c>
      <c r="D38" s="11">
        <f>D18*(D19+D20)/D19</f>
        <v>3070.7903674386021</v>
      </c>
    </row>
    <row r="39" spans="1:4" x14ac:dyDescent="0.6">
      <c r="A39" s="5" t="s">
        <v>28</v>
      </c>
      <c r="B39" s="4"/>
      <c r="C39" s="4"/>
      <c r="D39" s="13"/>
    </row>
    <row r="40" spans="1:4" ht="85.15" customHeight="1" x14ac:dyDescent="0.6">
      <c r="A40" s="33" t="s">
        <v>83</v>
      </c>
      <c r="B40" s="33"/>
      <c r="C40" s="33"/>
      <c r="D40" s="19"/>
    </row>
    <row r="41" spans="1:4" x14ac:dyDescent="0.6">
      <c r="A41" s="2" t="s">
        <v>10</v>
      </c>
      <c r="B41" s="3" t="s">
        <v>23</v>
      </c>
      <c r="C41" s="1" t="s">
        <v>9</v>
      </c>
      <c r="D41" s="11">
        <f t="shared" ref="D41" si="10">(D17*D18)*D13/D44</f>
        <v>191701496.39709741</v>
      </c>
    </row>
    <row r="42" spans="1:4" x14ac:dyDescent="0.6">
      <c r="A42" s="3" t="s">
        <v>11</v>
      </c>
      <c r="B42" s="3" t="s">
        <v>24</v>
      </c>
      <c r="C42" s="1" t="s">
        <v>9</v>
      </c>
      <c r="D42" s="11">
        <f t="shared" ref="D42" si="11">D17*D18*(1-D13)/D44</f>
        <v>28064061.779100478</v>
      </c>
    </row>
    <row r="43" spans="1:4" x14ac:dyDescent="0.6">
      <c r="A43" s="3" t="s">
        <v>17</v>
      </c>
      <c r="B43" s="3" t="s">
        <v>29</v>
      </c>
      <c r="C43" s="1" t="s">
        <v>9</v>
      </c>
      <c r="D43" s="11">
        <f t="shared" ref="D43" si="12">(D17*D18/D44)*D21</f>
        <v>134843203.19468156</v>
      </c>
    </row>
    <row r="44" spans="1:4" x14ac:dyDescent="0.6">
      <c r="A44" s="3" t="s">
        <v>18</v>
      </c>
      <c r="B44" s="3" t="s">
        <v>30</v>
      </c>
      <c r="C44" s="1" t="s">
        <v>9</v>
      </c>
      <c r="D44" s="11">
        <f t="shared" ref="D44" si="13">(D17+D18)/2-((D17+D18)^2/4-D17*D18*(1+D21))^(1/2)</f>
        <v>3070.8004793822765</v>
      </c>
    </row>
    <row r="45" spans="1:4" x14ac:dyDescent="0.6">
      <c r="A45" s="5" t="s">
        <v>77</v>
      </c>
      <c r="B45" s="4"/>
      <c r="C45" s="4"/>
      <c r="D45" s="13"/>
    </row>
    <row r="46" spans="1:4" ht="63" customHeight="1" x14ac:dyDescent="0.6">
      <c r="A46" s="33" t="s">
        <v>82</v>
      </c>
      <c r="B46" s="33"/>
      <c r="C46" s="33"/>
      <c r="D46" s="19"/>
    </row>
    <row r="47" spans="1:4" x14ac:dyDescent="0.6">
      <c r="A47" s="2" t="s">
        <v>10</v>
      </c>
      <c r="B47" s="3" t="s">
        <v>23</v>
      </c>
      <c r="C47" s="1" t="s">
        <v>9</v>
      </c>
      <c r="D47" s="11">
        <f t="shared" ref="D47" si="14">D17*D19</f>
        <v>191702127.65957445</v>
      </c>
    </row>
    <row r="48" spans="1:4" x14ac:dyDescent="0.6">
      <c r="A48" s="3" t="s">
        <v>11</v>
      </c>
      <c r="B48" s="3" t="s">
        <v>24</v>
      </c>
      <c r="C48" s="1" t="s">
        <v>9</v>
      </c>
      <c r="D48" s="11">
        <f t="shared" ref="D48" si="15">D17*(1-D19-D14)</f>
        <v>162907801.41843975</v>
      </c>
    </row>
    <row r="49" spans="1:4" x14ac:dyDescent="0.6">
      <c r="A49" s="2" t="s">
        <v>38</v>
      </c>
      <c r="B49" s="3" t="s">
        <v>39</v>
      </c>
      <c r="C49" s="1" t="s">
        <v>9</v>
      </c>
      <c r="D49" s="11" t="e">
        <f t="shared" ref="D49" si="16">D18*(D20*(1-D15))/(D14)</f>
        <v>#DIV/0!</v>
      </c>
    </row>
    <row r="50" spans="1:4" x14ac:dyDescent="0.6">
      <c r="A50" s="3" t="s">
        <v>16</v>
      </c>
      <c r="B50" s="3" t="s">
        <v>25</v>
      </c>
      <c r="C50" s="1" t="s">
        <v>9</v>
      </c>
      <c r="D50" s="12" t="e">
        <f t="shared" ref="D50" si="17">D18-(1-D14)*D52-D49</f>
        <v>#DIV/0!</v>
      </c>
    </row>
    <row r="51" spans="1:4" x14ac:dyDescent="0.6">
      <c r="A51" s="3" t="s">
        <v>17</v>
      </c>
      <c r="B51" s="3" t="s">
        <v>29</v>
      </c>
      <c r="C51" s="1" t="s">
        <v>9</v>
      </c>
      <c r="D51" s="11">
        <f t="shared" ref="D51" si="18">D17*D14</f>
        <v>0</v>
      </c>
    </row>
    <row r="52" spans="1:4" x14ac:dyDescent="0.6">
      <c r="A52" s="3" t="s">
        <v>18</v>
      </c>
      <c r="B52" s="3" t="s">
        <v>30</v>
      </c>
      <c r="C52" s="1" t="s">
        <v>9</v>
      </c>
      <c r="D52" s="11" t="e">
        <f t="shared" ref="D52" si="19">D18*(D20*D15)/(D19*D14)</f>
        <v>#DIV/0!</v>
      </c>
    </row>
    <row r="53" spans="1:4" x14ac:dyDescent="0.6">
      <c r="A53" s="5" t="s">
        <v>89</v>
      </c>
      <c r="B53" s="4"/>
      <c r="C53" s="4"/>
      <c r="D53" s="13"/>
    </row>
    <row r="54" spans="1:4" ht="61.15" customHeight="1" x14ac:dyDescent="0.6">
      <c r="A54" s="33" t="s">
        <v>80</v>
      </c>
      <c r="B54" s="33"/>
      <c r="C54" s="33"/>
      <c r="D54" s="19"/>
    </row>
    <row r="55" spans="1:4" x14ac:dyDescent="0.6">
      <c r="A55" s="2" t="s">
        <v>10</v>
      </c>
      <c r="B55" s="3" t="s">
        <v>23</v>
      </c>
      <c r="C55" s="1" t="s">
        <v>9</v>
      </c>
      <c r="D55" s="11">
        <f t="shared" ref="D55" si="20">D17*D19</f>
        <v>191702127.65957445</v>
      </c>
    </row>
    <row r="56" spans="1:4" x14ac:dyDescent="0.6">
      <c r="A56" s="3" t="s">
        <v>65</v>
      </c>
      <c r="B56" s="3" t="s">
        <v>66</v>
      </c>
      <c r="C56" s="1" t="s">
        <v>9</v>
      </c>
      <c r="D56" s="11">
        <f t="shared" ref="D56" si="21">D17*(1-D19-D20/D13)</f>
        <v>28064154.192511365</v>
      </c>
    </row>
    <row r="57" spans="1:4" x14ac:dyDescent="0.6">
      <c r="A57" s="3" t="s">
        <v>67</v>
      </c>
      <c r="B57" s="3" t="s">
        <v>68</v>
      </c>
      <c r="C57" s="1" t="s">
        <v>9</v>
      </c>
      <c r="D57" s="11">
        <f t="shared" ref="D57" si="22">D18*(1-D20/(1-D19))</f>
        <v>529.00557010967589</v>
      </c>
    </row>
    <row r="58" spans="1:4" x14ac:dyDescent="0.6">
      <c r="A58" s="3" t="s">
        <v>69</v>
      </c>
      <c r="B58" s="3" t="s">
        <v>71</v>
      </c>
      <c r="C58" s="1" t="s">
        <v>9</v>
      </c>
      <c r="D58" s="11">
        <f t="shared" ref="D58" si="23">D17/2*((D13*(1-D19)+D20)+(D13*(1-D19)-D20))/D13</f>
        <v>162907801.41843975</v>
      </c>
    </row>
    <row r="59" spans="1:4" x14ac:dyDescent="0.6">
      <c r="A59" s="3" t="s">
        <v>70</v>
      </c>
      <c r="B59" s="3" t="s">
        <v>72</v>
      </c>
      <c r="C59" s="1" t="s">
        <v>9</v>
      </c>
      <c r="D59" s="11">
        <f t="shared" ref="D59" si="24">D17/2*((D13*(1-D19)+D20)-(D13*(1-D19)-D20))/D13</f>
        <v>134843647.22592837</v>
      </c>
    </row>
    <row r="60" spans="1:4" x14ac:dyDescent="0.6">
      <c r="A60" s="3" t="s">
        <v>75</v>
      </c>
      <c r="B60" s="3" t="s">
        <v>73</v>
      </c>
      <c r="C60" s="1" t="s">
        <v>9</v>
      </c>
      <c r="D60" s="11">
        <f t="shared" ref="D60" si="25">D18/2*((D13*(1-D19)+D20)+(D13*(1-D19)-D20))/(D19*(1-D19))</f>
        <v>3070.7903674386021</v>
      </c>
    </row>
    <row r="61" spans="1:4" x14ac:dyDescent="0.6">
      <c r="A61" s="3" t="s">
        <v>76</v>
      </c>
      <c r="B61" s="3" t="s">
        <v>74</v>
      </c>
      <c r="C61" s="1" t="s">
        <v>9</v>
      </c>
      <c r="D61" s="11">
        <f t="shared" ref="D61" si="26">D18/2*((D13*(1-D19)+D20)-(D13*(1-D19)-D20))/(D19*(1-D19))</f>
        <v>2541.7847973289258</v>
      </c>
    </row>
    <row r="62" spans="1:4" x14ac:dyDescent="0.6">
      <c r="A62" s="7" t="s">
        <v>78</v>
      </c>
      <c r="B62" s="4"/>
      <c r="C62" s="4"/>
      <c r="D62" s="13"/>
    </row>
    <row r="63" spans="1:4" ht="60" customHeight="1" x14ac:dyDescent="0.6">
      <c r="A63" s="33" t="s">
        <v>90</v>
      </c>
      <c r="B63" s="33"/>
      <c r="C63" s="33"/>
      <c r="D63" s="19"/>
    </row>
    <row r="64" spans="1:4" x14ac:dyDescent="0.6">
      <c r="A64" s="2" t="s">
        <v>10</v>
      </c>
      <c r="B64" s="3" t="s">
        <v>23</v>
      </c>
      <c r="C64" s="1" t="s">
        <v>9</v>
      </c>
      <c r="D64" s="11">
        <f t="shared" ref="D64" si="27">D17*D19</f>
        <v>191702127.65957445</v>
      </c>
    </row>
    <row r="65" spans="1:4" x14ac:dyDescent="0.6">
      <c r="A65" s="3" t="s">
        <v>11</v>
      </c>
      <c r="B65" s="3" t="s">
        <v>24</v>
      </c>
      <c r="C65" s="1" t="s">
        <v>9</v>
      </c>
      <c r="D65" s="11">
        <f t="shared" ref="D65" si="28">D66-D64-D69</f>
        <v>-175318048.62067717</v>
      </c>
    </row>
    <row r="66" spans="1:4" x14ac:dyDescent="0.6">
      <c r="A66" s="3" t="s">
        <v>45</v>
      </c>
      <c r="B66" s="3" t="s">
        <v>47</v>
      </c>
      <c r="C66" s="1" t="s">
        <v>9</v>
      </c>
      <c r="D66" s="11">
        <f t="shared" ref="D66" si="29">IMREAL(IMSUM(IMPRODUCT(COMPLEX(-1/2,SQRT(3)/2),IMPOWER(IMSUM(-D77,+IMSQRT(IMSUM(IMPOWER(D77,2),IMPOWER(D78,3)))),1/3)),IMPRODUCT(COMPLEX(-1/2,-SQRT(3)/2),IMPOWER(IMSUM(-D77,IMPRODUCT(COMPLEX(-1,0),IMSQRT(IMSUM(IMPOWER(D77,2),IMPOWER(D78,3))))),1/3)),-COMPLEX(D74,0)/3))</f>
        <v>354608761.25046098</v>
      </c>
    </row>
    <row r="67" spans="1:4" x14ac:dyDescent="0.6">
      <c r="A67" s="2" t="s">
        <v>38</v>
      </c>
      <c r="B67" s="3" t="s">
        <v>39</v>
      </c>
      <c r="C67" s="1" t="s">
        <v>9</v>
      </c>
      <c r="D67" s="11">
        <f t="shared" ref="D67" si="30">(D17*D18*D20*(1-D15))/(D69+D17-D66)</f>
        <v>0</v>
      </c>
    </row>
    <row r="68" spans="1:4" x14ac:dyDescent="0.6">
      <c r="A68" s="3" t="s">
        <v>16</v>
      </c>
      <c r="B68" s="3" t="s">
        <v>25</v>
      </c>
      <c r="C68" s="1" t="s">
        <v>9</v>
      </c>
      <c r="D68" s="11">
        <f t="shared" ref="D68" si="31">D17+D18-D66-D67-D70</f>
        <v>1846.5297942954355</v>
      </c>
    </row>
    <row r="69" spans="1:4" x14ac:dyDescent="0.6">
      <c r="A69" s="20" t="s">
        <v>17</v>
      </c>
      <c r="B69" s="20" t="s">
        <v>29</v>
      </c>
      <c r="C69" s="21" t="s">
        <v>9</v>
      </c>
      <c r="D69" s="22">
        <f t="shared" ref="D69" si="32">(-D72-SQRT(D72^2-4*D71*D73))/(2*D71)</f>
        <v>338224682.21156371</v>
      </c>
    </row>
    <row r="70" spans="1:4" x14ac:dyDescent="0.6">
      <c r="A70" s="16" t="s">
        <v>18</v>
      </c>
      <c r="B70" s="16" t="s">
        <v>30</v>
      </c>
      <c r="C70" s="17" t="s">
        <v>9</v>
      </c>
      <c r="D70" s="18">
        <f t="shared" ref="D70" si="33">((D17-D66)*(D66-D18))/(D69)</f>
        <v>1224.3921904367155</v>
      </c>
    </row>
    <row r="71" spans="1:4" x14ac:dyDescent="0.6">
      <c r="A71" s="3" t="s">
        <v>57</v>
      </c>
      <c r="B71" s="3" t="s">
        <v>48</v>
      </c>
      <c r="C71" s="1" t="s">
        <v>49</v>
      </c>
      <c r="D71" s="14">
        <f t="shared" ref="D71" si="34">D21*D18*D15-D17+D66</f>
        <v>-0.13161730766296387</v>
      </c>
    </row>
    <row r="72" spans="1:4" x14ac:dyDescent="0.6">
      <c r="A72" s="3" t="s">
        <v>57</v>
      </c>
      <c r="B72" s="3" t="s">
        <v>50</v>
      </c>
      <c r="C72" s="1" t="s">
        <v>52</v>
      </c>
      <c r="D72" s="14">
        <f t="shared" ref="D72" si="35">(D17-D66)*(D66-D17-D18)-D71*D66</f>
        <v>43086343.121917181</v>
      </c>
    </row>
    <row r="73" spans="1:4" x14ac:dyDescent="0.6">
      <c r="A73" s="3" t="s">
        <v>57</v>
      </c>
      <c r="B73" s="3" t="s">
        <v>51</v>
      </c>
      <c r="C73" s="1" t="s">
        <v>53</v>
      </c>
      <c r="D73" s="14">
        <f t="shared" ref="D73" si="36">(D17-D66)^2*(D66-D18)</f>
        <v>483620348706060.81</v>
      </c>
    </row>
    <row r="74" spans="1:4" x14ac:dyDescent="0.6">
      <c r="A74" s="3" t="s">
        <v>61</v>
      </c>
      <c r="B74" s="3" t="s">
        <v>58</v>
      </c>
      <c r="C74" s="1" t="s">
        <v>49</v>
      </c>
      <c r="D74" s="15">
        <f>-(D79+3*D17+D18*(1-D21))</f>
        <v>-1104406221.6325383</v>
      </c>
    </row>
    <row r="75" spans="1:4" x14ac:dyDescent="0.6">
      <c r="A75" s="3" t="s">
        <v>61</v>
      </c>
      <c r="B75" s="3" t="s">
        <v>59</v>
      </c>
      <c r="C75" s="1" t="s">
        <v>52</v>
      </c>
      <c r="D75" s="14">
        <f>2*D79*D17+3*D17^2+(2*D17*D18+D79*D18)*(1-D21)-D18^2*D21-(D79*D18*D20*(1-D15))/(D19)</f>
        <v>4.060222482878071E+17</v>
      </c>
    </row>
    <row r="76" spans="1:4" x14ac:dyDescent="0.6">
      <c r="A76" s="3" t="s">
        <v>61</v>
      </c>
      <c r="B76" s="3" t="s">
        <v>60</v>
      </c>
      <c r="C76" s="1" t="s">
        <v>53</v>
      </c>
      <c r="D76" s="14">
        <f>-(D79+D17)*(D17+D18)*(D17-D18*D21)</f>
        <v>-4.9693985163771275E+25</v>
      </c>
    </row>
    <row r="77" spans="1:4" x14ac:dyDescent="0.6">
      <c r="A77" s="3" t="s">
        <v>61</v>
      </c>
      <c r="B77" s="3" t="s">
        <v>62</v>
      </c>
      <c r="C77" s="1" t="s">
        <v>53</v>
      </c>
      <c r="D77" s="14" t="str">
        <f t="shared" ref="D77" si="37">COMPLEX((27*D76+2*D74^3-9*D74*D75)/54,0)</f>
        <v>-2.47412965012395E+21</v>
      </c>
    </row>
    <row r="78" spans="1:4" x14ac:dyDescent="0.6">
      <c r="A78" s="3" t="s">
        <v>61</v>
      </c>
      <c r="B78" s="3" t="s">
        <v>63</v>
      </c>
      <c r="C78" s="1" t="s">
        <v>52</v>
      </c>
      <c r="D78" s="14" t="str">
        <f t="shared" ref="D78" si="38">COMPLEX((3*D75-D74^2)/9,0)</f>
        <v>-182928613026446</v>
      </c>
    </row>
    <row r="79" spans="1:4" x14ac:dyDescent="0.6">
      <c r="A79" s="3" t="s">
        <v>91</v>
      </c>
      <c r="B79" s="3" t="s">
        <v>29</v>
      </c>
      <c r="C79" s="1" t="s">
        <v>9</v>
      </c>
      <c r="D79" s="9">
        <v>40575699</v>
      </c>
    </row>
    <row r="80" spans="1:4" x14ac:dyDescent="0.6">
      <c r="A80" s="3" t="s">
        <v>92</v>
      </c>
      <c r="B80" s="3" t="s">
        <v>29</v>
      </c>
      <c r="C80" s="1" t="s">
        <v>9</v>
      </c>
      <c r="D80" s="11">
        <f t="shared" ref="D80" si="39">D17*(D20/D13)-D18*D21</f>
        <v>134842479.52999246</v>
      </c>
    </row>
    <row r="81" spans="1:4" x14ac:dyDescent="0.6">
      <c r="A81" s="7" t="s">
        <v>79</v>
      </c>
      <c r="B81" s="4"/>
      <c r="C81" s="4"/>
      <c r="D81" s="13"/>
    </row>
    <row r="82" spans="1:4" ht="69" customHeight="1" x14ac:dyDescent="0.6">
      <c r="A82" s="33" t="s">
        <v>64</v>
      </c>
      <c r="B82" s="33"/>
      <c r="C82" s="33"/>
      <c r="D82" s="11"/>
    </row>
    <row r="83" spans="1:4" x14ac:dyDescent="0.6">
      <c r="A83" s="2" t="s">
        <v>10</v>
      </c>
      <c r="B83" s="3" t="s">
        <v>23</v>
      </c>
      <c r="C83" s="1" t="s">
        <v>9</v>
      </c>
      <c r="D83" s="11">
        <f t="shared" ref="D83" si="40">D17*D19</f>
        <v>191702127.65957445</v>
      </c>
    </row>
    <row r="84" spans="1:4" x14ac:dyDescent="0.6">
      <c r="A84" s="3" t="s">
        <v>11</v>
      </c>
      <c r="B84" s="3" t="s">
        <v>24</v>
      </c>
      <c r="C84" s="1" t="s">
        <v>9</v>
      </c>
      <c r="D84" s="11">
        <f t="shared" ref="D84" si="41">D17*(D19/D13)*(1-D13)</f>
        <v>28064154.192511372</v>
      </c>
    </row>
    <row r="85" spans="1:4" x14ac:dyDescent="0.6">
      <c r="A85" s="3" t="s">
        <v>16</v>
      </c>
      <c r="B85" s="3" t="s">
        <v>25</v>
      </c>
      <c r="C85" s="1" t="s">
        <v>9</v>
      </c>
      <c r="D85" s="12">
        <v>0</v>
      </c>
    </row>
    <row r="86" spans="1:4" x14ac:dyDescent="0.6">
      <c r="A86" s="3" t="s">
        <v>17</v>
      </c>
      <c r="B86" s="3" t="s">
        <v>29</v>
      </c>
      <c r="C86" s="1" t="s">
        <v>9</v>
      </c>
      <c r="D86" s="11">
        <f t="shared" ref="D86" si="42">D17*(D20/D13)-D18*D21</f>
        <v>134842479.52999246</v>
      </c>
    </row>
    <row r="87" spans="1:4" x14ac:dyDescent="0.6">
      <c r="A87" s="3" t="s">
        <v>18</v>
      </c>
      <c r="B87" s="3" t="s">
        <v>30</v>
      </c>
      <c r="C87" s="1" t="s">
        <v>9</v>
      </c>
      <c r="D87" s="11">
        <f t="shared" ref="D87" si="43">D18*D13/D19</f>
        <v>3070.7903674386021</v>
      </c>
    </row>
  </sheetData>
  <mergeCells count="12">
    <mergeCell ref="A1:C1"/>
    <mergeCell ref="A2:C3"/>
    <mergeCell ref="A46:C46"/>
    <mergeCell ref="A82:C82"/>
    <mergeCell ref="D2:D4"/>
    <mergeCell ref="A54:C54"/>
    <mergeCell ref="A63:C63"/>
    <mergeCell ref="A28:C28"/>
    <mergeCell ref="A34:C34"/>
    <mergeCell ref="A40:C40"/>
    <mergeCell ref="A16:C16"/>
    <mergeCell ref="A24:C2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RISC Calculator</dc:title>
  <dc:subject/>
  <dc:creator>Stefan Diesing</dc:creator>
  <cp:keywords/>
  <dc:description>Excel sheet for the calculation of RISC rate based on PL experiments. Calculations and Examples taken form literature where reference given. Created by Stefan Diesing. Contact sd256@st-andrews.ac.uk</dc:description>
  <cp:lastModifiedBy>Kaiyang Wei</cp:lastModifiedBy>
  <dcterms:created xsi:type="dcterms:W3CDTF">2021-01-13T10:46:01Z</dcterms:created>
  <dcterms:modified xsi:type="dcterms:W3CDTF">2026-05-20T14:54:19Z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rstellt von">
    <vt:lpwstr>Stefan Diesing</vt:lpwstr>
  </property>
</Properties>
</file>